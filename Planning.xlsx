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770" windowHeight="11835" activeTab="7"/>
  </bookViews>
  <sheets>
    <sheet name="Sheet1" sheetId="1" r:id="rId1"/>
    <sheet name="Sheet2" sheetId="2" r:id="rId2"/>
    <sheet name="Netting - Order" sheetId="6" r:id="rId3"/>
    <sheet name="Netting" sheetId="3" r:id="rId4"/>
    <sheet name="Planning" sheetId="4" r:id="rId5"/>
    <sheet name="Netting - Talon" sheetId="5" r:id="rId6"/>
    <sheet name="Sheet3" sheetId="7" r:id="rId7"/>
    <sheet name="Target Qty Approach" sheetId="8" r:id="rId8"/>
  </sheets>
  <definedNames>
    <definedName name="_xlnm._FilterDatabase" localSheetId="4" hidden="1">Planning!$E$2:$E$19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8" l="1"/>
  <c r="I5" i="8"/>
  <c r="L7" i="2" l="1"/>
  <c r="L8" i="2" s="1"/>
  <c r="L9" i="2" s="1"/>
  <c r="L10" i="2" s="1"/>
  <c r="L11" i="2" s="1"/>
  <c r="L12" i="2" s="1"/>
  <c r="L13" i="2" s="1"/>
  <c r="L14" i="2" s="1"/>
  <c r="L15" i="2" s="1"/>
  <c r="L6" i="2"/>
</calcChain>
</file>

<file path=xl/sharedStrings.xml><?xml version="1.0" encoding="utf-8"?>
<sst xmlns="http://schemas.openxmlformats.org/spreadsheetml/2006/main" count="507" uniqueCount="226">
  <si>
    <t>D2D</t>
  </si>
  <si>
    <t>D2C</t>
  </si>
  <si>
    <t>Total</t>
  </si>
  <si>
    <t>Model decision</t>
  </si>
  <si>
    <t>N/A</t>
  </si>
  <si>
    <t>CC</t>
  </si>
  <si>
    <t>Duration Manager</t>
  </si>
  <si>
    <t>Netting Position Manager</t>
  </si>
  <si>
    <t>Self
(talon exposed)</t>
  </si>
  <si>
    <t>NA</t>
  </si>
  <si>
    <t>Self
(talon fills)</t>
  </si>
  <si>
    <t>Netting Action</t>
  </si>
  <si>
    <t>Amend Down
-5</t>
  </si>
  <si>
    <t>Exec algo</t>
  </si>
  <si>
    <t>Exposed</t>
  </si>
  <si>
    <t>Filled</t>
  </si>
  <si>
    <t>Amend Down</t>
  </si>
  <si>
    <t>Cancel</t>
  </si>
  <si>
    <t>New</t>
  </si>
  <si>
    <t>Amend Up</t>
  </si>
  <si>
    <t>Action</t>
  </si>
  <si>
    <t>2-&gt;16</t>
  </si>
  <si>
    <t>-5-&gt;2</t>
  </si>
  <si>
    <t>-10-&gt;-5</t>
  </si>
  <si>
    <t>Amend Reject</t>
  </si>
  <si>
    <t>0-&gt;-6</t>
  </si>
  <si>
    <t>-6-&gt;0</t>
  </si>
  <si>
    <t>Cancelled</t>
  </si>
  <si>
    <t>-5-&gt;0</t>
  </si>
  <si>
    <t>10</t>
  </si>
  <si>
    <t>Netting input
(queued)</t>
  </si>
  <si>
    <t>Overfills 
( just tracker - no action on the back of this)</t>
  </si>
  <si>
    <t>16-&gt;8</t>
  </si>
  <si>
    <t>Leaves
(Total - Filled)</t>
  </si>
  <si>
    <t>4-4</t>
  </si>
  <si>
    <t>-6-&gt;6</t>
  </si>
  <si>
    <t>20-5=15
10-&gt;15</t>
  </si>
  <si>
    <t>10-&gt;15</t>
  </si>
  <si>
    <t>15-&gt;20</t>
  </si>
  <si>
    <t>20</t>
  </si>
  <si>
    <t>20-&gt;17</t>
  </si>
  <si>
    <t>17</t>
  </si>
  <si>
    <t>Scenario</t>
  </si>
  <si>
    <t>Vanilla new order</t>
  </si>
  <si>
    <t>Duration Manager Request
(assumed absoulte values for this discussion, 
same will work if deltas requested)</t>
  </si>
  <si>
    <t>Netter</t>
  </si>
  <si>
    <t>Amend down existing order</t>
  </si>
  <si>
    <t>Side flip translates to Cancel and New</t>
  </si>
  <si>
    <t>16</t>
  </si>
  <si>
    <t>Amend up existing order</t>
  </si>
  <si>
    <t>Amend down crosses with fill on the wire 
leading to overfill</t>
  </si>
  <si>
    <t>Vanilla new order when nothing exists</t>
  </si>
  <si>
    <t>Side flip translates to Cancel and New but 
Cancel crosses fill on the wire leading to overfill</t>
  </si>
  <si>
    <t>Here we are trying to cancel - But the model will know the updated position so it can choose what to do or Talon could cancel</t>
  </si>
  <si>
    <t xml:space="preserve">Here we have overfilled -4 so in order to 
reach 6, we need to send 10 and could be done by Talon or decision left to model </t>
  </si>
  <si>
    <t>Multiple requests queued up at Netter and processed. Netter will net the queue before netting exposed quantities</t>
  </si>
  <si>
    <t>Amend up where the exec algo (GT2) may decide exposure remains constant</t>
  </si>
  <si>
    <t>Amend down where the amend doesn't impact any exposure</t>
  </si>
  <si>
    <t xml:space="preserve">GT2 via UI Rollout </t>
  </si>
  <si>
    <t>Safety tests + CB tests - compare with CATS</t>
  </si>
  <si>
    <t>Metrics / perf monitoring</t>
  </si>
  <si>
    <t>GT2 Integration with Duration manager</t>
  </si>
  <si>
    <t>Conduct</t>
  </si>
  <si>
    <t>Blotter
 - Parent orders shown ?
 - Child orders shown ?
 - Fills shown ?
 - Quantities and prices are correct
 - Kill algo ?
 - CB info displayed ?
 - CB reset ?</t>
  </si>
  <si>
    <t>GT2 CB blow propagate to Duration manager</t>
  </si>
  <si>
    <t>Netter 
 - Implementation
 - Safeties
 - Auto tests</t>
  </si>
  <si>
    <t>TBD</t>
  </si>
  <si>
    <t>Strategic Algo testing initiatives</t>
  </si>
  <si>
    <t>GT2 output comparison with CATS</t>
  </si>
  <si>
    <t>Position manager changes to subscribe to Talon instead of CATS for netted GT2 orders and fills</t>
  </si>
  <si>
    <t>Update tests/cuces</t>
  </si>
  <si>
    <t>Cuce framework</t>
  </si>
  <si>
    <t>Setup monitoring
 - Geneos</t>
  </si>
  <si>
    <t>EMS workflow refinement 
    - Simplify workflow by normalising ION states into ems states 
    - Ensure the channels are still stateless as per design principles 
    - UI flow re-test to ensure nothing is broken
    - Update cuces</t>
  </si>
  <si>
    <t>Chaos monkey
 - Load test for GT2 via simple scala random order generator plugged in at the EMSClient level (in place of the UI)</t>
  </si>
  <si>
    <t>Investigate Atmos persistence for 
 - Talon actions
 - Ems/Talon events</t>
  </si>
  <si>
    <t xml:space="preserve">KDB capture (Update feed handlers with new schemas)
 - Algo params for GT2
 - On/Off switch controls
 - Any other UI controls that are exposed
</t>
  </si>
  <si>
    <t>Shadow login behaviour
 - We need a mechanism for Algo trader to login and turn trader on in place of the CATS shadow login functionality</t>
  </si>
  <si>
    <t>GDE params all migrated ok
 - Compare and verify all used and relevant GDE Cats params have been moved over to Talon based management</t>
  </si>
  <si>
    <t xml:space="preserve">STP works
 - Verify STP still works for the new Talon based GT2 flow </t>
  </si>
  <si>
    <t>GT2 actions captured to KDB or File 
 - Feed handlers could be updated till we investigate atmos</t>
  </si>
  <si>
    <t>KDB capture 
 - Netter actions
 - GT2 order states
 - Duration manager actions (ensure existing capture is sufficient)</t>
  </si>
  <si>
    <r>
      <t xml:space="preserve">Metrics/Perf monitoring
 - Talon calc cycle metrics
</t>
    </r>
    <r>
      <rPr>
        <sz val="12"/>
        <color rgb="FFFF0000"/>
        <rFont val="Calibri (Body)_x0000_"/>
      </rPr>
      <t xml:space="preserve"> - Order round trips to ems
 - MD latency 
 - Order round trips to market</t>
    </r>
  </si>
  <si>
    <t>Chaos monkey 
 - Load test Duration manager with GT2</t>
  </si>
  <si>
    <t>Auto integration tests infrastructure</t>
  </si>
  <si>
    <t>Investigate Instrument Service in FI Talon to 
 - Ensure it is instrument type agnostic
 - Works with intraday updates
 - All models have access to a single 
 strategic instrument service that delivers
 consistent instrument static</t>
  </si>
  <si>
    <t>Position manager refactoring to ensure it works for any instrument type/set and not just for treasuries</t>
  </si>
  <si>
    <t>Talon and EMS cluster setup for GT2</t>
  </si>
  <si>
    <t>UI work
 - Blotter refinement with actions to cancel/force
 - Login status
 - Verify required and must have actions in CATS UI have been moved</t>
  </si>
  <si>
    <t>All FI algos should be able to use a single Talon Algo wrapper for most generic things
 Ex:
 - Subscriptions and readiness to trigger calccycles
 - Populate caches by discovering subscription types
 - Action validations
 - MD/Event checks for any subscription type
 - CB handling
 - Any generic order management</t>
  </si>
  <si>
    <t>Connectivity TBD</t>
  </si>
  <si>
    <t>Automated tests for GT2 
 (based on what Talon already provides)
 - Re-use Talon unit test infra to test our algo flow
 - Identify strategic changes so we can pursue with Conduct piece of work</t>
  </si>
  <si>
    <t>Talon Rollout to EU/HK</t>
  </si>
  <si>
    <t>Review Python/scala integration infra being proposed in quant infrastructure 
 - Why do we need this integration ?
 - What kind of stuff is being done in python that can't efficiently done in scala ?
 - The stuff being done in python, does it really need to happen in runtime ? can they not happen offline and feed in to algos as params start of day or periodic fashion perhaps via KDB ?</t>
  </si>
  <si>
    <t>Formulate plan for EU/HK talon, EMS and UI infrastructure</t>
  </si>
  <si>
    <t xml:space="preserve">Impact analysis of US/EU/HK running together etc </t>
  </si>
  <si>
    <t>ION topology</t>
  </si>
  <si>
    <t>ION topology changes</t>
  </si>
  <si>
    <t>Criticality</t>
  </si>
  <si>
    <t>Must</t>
  </si>
  <si>
    <t>Should</t>
  </si>
  <si>
    <t>Evaluate</t>
  </si>
  <si>
    <t xml:space="preserve">Documentation updates (atleast the ones mandated by regulation)
 - CB related
 - Algo related
 - Runbook related
</t>
  </si>
  <si>
    <t>New starter task?</t>
  </si>
  <si>
    <t>Yes</t>
  </si>
  <si>
    <t xml:space="preserve">Yes </t>
  </si>
  <si>
    <t>Prod shadow testing in UAT (if possible)
 - Repurpose SIT to be prod shadow for BTEC MD and Exec</t>
  </si>
  <si>
    <t>All MD checks, safety latches and circuit breakers have been moved to talon
 - Safety latch kills/stops running algo instance
 - Circuit breaker stops all running algo instances
 - MD gates have drop,terminate semantics
 - When a CB is triggered, no further algo requests are accepted</t>
  </si>
  <si>
    <t xml:space="preserve">Special cases
 - Holdin timer on BTEC behaviour is as expected. Compare with CATS
 - Workups
 </t>
  </si>
  <si>
    <t>Talon workflow refinement
 - Ensure ION event leakage is addressed
 - Works with native talon workflow</t>
  </si>
  <si>
    <t>Setup monitoring 
 - Geneos
 - CB/Latch/SAL triggers</t>
  </si>
  <si>
    <t>Investigate options to move 
 - Safeties
 - MD/Event check rules
 - Action validations
 - Circuit breakers 
to Talon framework level and possibly contribute back to core</t>
  </si>
  <si>
    <t>CATS phase out plan
 - US
 - EU (medium-long term)</t>
  </si>
  <si>
    <t>ION Position manager sunset</t>
  </si>
  <si>
    <t>Review quant model and model tests</t>
  </si>
  <si>
    <t xml:space="preserve">Review calculators infra in quant framework
 - Understand what these are ?
 - Where it is going ?
 - What kind of calcs ? Etc </t>
  </si>
  <si>
    <t>Execution dashboard works with the new talon flow</t>
  </si>
  <si>
    <t xml:space="preserve">LatAm Work
 - LatAm GT2 - Manual rollout to the Brazilian Ex and CME
 - LatAm Portfolio manager rollout (CME/BTEC splitter)
 - LatAm rfq pricing 
 </t>
  </si>
  <si>
    <t>CNE</t>
  </si>
  <si>
    <t>Feedselector</t>
  </si>
  <si>
    <t>BTEC migration to Globex</t>
  </si>
  <si>
    <t>Review quant infrstructure to ensure it is in line with future goals and the wrapping algo infrastructure
 - How much state management is still being done in the models ?
 - How easy is it to back test and how live/replay invariant we are ?
 - Is the api fit for purpose ?
 - Backtester extensible ?</t>
  </si>
  <si>
    <t>-10-&gt;-15</t>
  </si>
  <si>
    <t>-15-&gt;-13</t>
  </si>
  <si>
    <t>-13</t>
  </si>
  <si>
    <t>-13-&gt;3</t>
  </si>
  <si>
    <t>0</t>
  </si>
  <si>
    <t>3</t>
  </si>
  <si>
    <t>3-&gt;8</t>
  </si>
  <si>
    <t>8-&gt;2</t>
  </si>
  <si>
    <t>1</t>
  </si>
  <si>
    <t>0-&gt;10</t>
  </si>
  <si>
    <t>Cancel cross fill (overfill so netting failure)</t>
  </si>
  <si>
    <t>Amend crosses fill (overfill so netting failure)</t>
  </si>
  <si>
    <t>CalcCycle1</t>
  </si>
  <si>
    <t>CalcCycle2</t>
  </si>
  <si>
    <t>CalcCycle3</t>
  </si>
  <si>
    <t>CalcCycle4</t>
  </si>
  <si>
    <t>CalcCycle5</t>
  </si>
  <si>
    <t>CalcCycle6</t>
  </si>
  <si>
    <t>OrderRequests</t>
  </si>
  <si>
    <t>10 SELL</t>
  </si>
  <si>
    <t>15 BUY</t>
  </si>
  <si>
    <t>Total: 10, Filled: 0, Leaves: 10, SELL</t>
  </si>
  <si>
    <t>Total: 10, Filled: 0, Leaves: 0, SELL, DONE</t>
  </si>
  <si>
    <t>Total: 10, Filled: 0, Leaves: 0, SELL, DONE
Total: 5, Filled: 0, Leaves: 5, BUY</t>
  </si>
  <si>
    <t>ParentOrderState</t>
  </si>
  <si>
    <t>Total: 5, Filled: 0, Leaves: 5, BUY</t>
  </si>
  <si>
    <t>Total: 0, Filled: 0, Leaves: 0</t>
  </si>
  <si>
    <t>10 SELL,5 BUY</t>
  </si>
  <si>
    <t>5 SELL</t>
  </si>
  <si>
    <t>Current Netting Order</t>
  </si>
  <si>
    <t>CalcCycle7</t>
  </si>
  <si>
    <t>Total: 5, Filled: 0, Leaves: 0, BUY, DONE</t>
  </si>
  <si>
    <t>CalcCycle8</t>
  </si>
  <si>
    <t>10 BUY</t>
  </si>
  <si>
    <t>CalcCycle9</t>
  </si>
  <si>
    <t>Total: 10, Filled: 0, Leaves: 10, BUY</t>
  </si>
  <si>
    <t>CalcCycle10</t>
  </si>
  <si>
    <t>20 SELL</t>
  </si>
  <si>
    <t>CalcCycle11</t>
  </si>
  <si>
    <t>5 BUY</t>
  </si>
  <si>
    <t>15 SELL</t>
  </si>
  <si>
    <t>CalcCycle12</t>
  </si>
  <si>
    <t>Total: 10, Filled: 5, Leaves: 0, BUY, DONE</t>
  </si>
  <si>
    <t>Total: 10, Filled: 0, Leaves:10, SELL</t>
  </si>
  <si>
    <t>* Per Symbol</t>
  </si>
  <si>
    <t>NETTED(CYCLEID: 1 , 10 SELL)</t>
  </si>
  <si>
    <t>NETTING(CYCLEID: 1 , 10 SELL, NOS 10 SELL)</t>
  </si>
  <si>
    <t>NETTING (CYCLEID: 2, 15 BUY, CXL 10 SELL)</t>
  </si>
  <si>
    <t>NETTING(CYCLEID: 2, 15 BUY, NOS 5 BUY)</t>
  </si>
  <si>
    <t>NETTED (CYCLEID: 2, 15 BUY)</t>
  </si>
  <si>
    <t>NETTING (CYCLEID: 3,  5 SELL, 5 CXL BUY)</t>
  </si>
  <si>
    <t>NETTED(CYCLEID: 3, 5 SELL)</t>
  </si>
  <si>
    <t>NETTING (CYCLEID: 4, 10 BUY, NOS 10 BUY)</t>
  </si>
  <si>
    <t>NETTED (CYCLEID: 4, 10 BUY)</t>
  </si>
  <si>
    <t>NETTING(CYCLEID: 5, 20 SELL, CXL 10 BUY)</t>
  </si>
  <si>
    <t>NETTING(CYCLEID: 5, 15 SELL, NOS 10 SELL)</t>
  </si>
  <si>
    <t>NETTED (CYCLEID: 5, 15 SELL)</t>
  </si>
  <si>
    <t>CalcCycle13</t>
  </si>
  <si>
    <t>CurrentChildOrderState for Netting Cycle</t>
  </si>
  <si>
    <t>NETTING (CYCLEID: 6, 5 SELL, OCRR 10-&gt;15 SELL)</t>
  </si>
  <si>
    <t>CalcCycle14</t>
  </si>
  <si>
    <t>Total: 15, Filled: 0, Leaves: 15, SELL</t>
  </si>
  <si>
    <t>NETTED (CYCLEID: 6, 5 SELL)</t>
  </si>
  <si>
    <t>CalcCycle15</t>
  </si>
  <si>
    <t>NETTING (CYCLEID: 7, 10 BUY, OCRR 15-&gt;5 SELL)</t>
  </si>
  <si>
    <t>CalcCycle16</t>
  </si>
  <si>
    <t>Total: 15, Filled: 14, Leaves: 1, SELL</t>
  </si>
  <si>
    <t>NETTING (CYCLEID: 7, 10 BUY, CXL 1 SELL)</t>
  </si>
  <si>
    <t>CalcCycle17</t>
  </si>
  <si>
    <t>Total: 15, Filled: 14, Leaves: 1, SELL, DONE</t>
  </si>
  <si>
    <t>NETTING (CYCLEID: 7, 10 BUY, NOS 9 BUY)</t>
  </si>
  <si>
    <t>CalcCycle18</t>
  </si>
  <si>
    <t>Total: 9, Filled: 0, Leaves: 9, BUY</t>
  </si>
  <si>
    <t>Total: 15, Filled: 14, Leaves: 1, SELL, DONE
Total: 9, Filled: 0, Leaves: 9, BUY</t>
  </si>
  <si>
    <t>NETTED (CYCLEID: 7, 10 BUY)</t>
  </si>
  <si>
    <t>Target Qty</t>
  </si>
  <si>
    <t>12 S</t>
  </si>
  <si>
    <t>Total: 15, Filled: 3, Sell</t>
  </si>
  <si>
    <t>12 Sell</t>
  </si>
  <si>
    <t>Start State</t>
  </si>
  <si>
    <t>Calc Cycle</t>
  </si>
  <si>
    <t>Action Outcome</t>
  </si>
  <si>
    <t>10 B</t>
  </si>
  <si>
    <t>2 S</t>
  </si>
  <si>
    <t>Tgt Qty Sign</t>
  </si>
  <si>
    <t>ParentQty</t>
  </si>
  <si>
    <t>Action to Talon</t>
  </si>
  <si>
    <t>Reject</t>
  </si>
  <si>
    <t>Total: 15, Filled: 12, Sell</t>
  </si>
  <si>
    <t>15 -&gt; 5, 3 Filled</t>
  </si>
  <si>
    <t>Want to sell 2</t>
  </si>
  <si>
    <t>But sold 9</t>
  </si>
  <si>
    <t>7 B</t>
  </si>
  <si>
    <t>15 -&gt; 0, 12 Filled</t>
  </si>
  <si>
    <t>15 B</t>
  </si>
  <si>
    <t>3 B</t>
  </si>
  <si>
    <t>15 -&gt; 0, 3 Filled</t>
  </si>
  <si>
    <t>Want to buy 3</t>
  </si>
  <si>
    <t>Accept but PF</t>
  </si>
  <si>
    <t>15 -&gt; 0, 6 Filled</t>
  </si>
  <si>
    <t>But sold 3</t>
  </si>
  <si>
    <t>Total: 0, Filled: 6, Sell</t>
  </si>
  <si>
    <t>6 B</t>
  </si>
  <si>
    <t>NOS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</si>
</sst>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rgb="FFFF0000"/>
      <name val="Calibri"/>
      <family val="2"/>
      <scheme val="minor"/>
    </font>
    <font>
      <sz val="12"/>
      <color rgb="FFFF0000"/>
      <name val="Calibri (Body)_x0000_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49" fontId="5" fillId="0" borderId="0" xfId="0" applyNumberFormat="1" applyFont="1"/>
    <xf numFmtId="49" fontId="3" fillId="0" borderId="0" xfId="0" applyNumberFormat="1" applyFont="1" applyAlignment="1">
      <alignment wrapText="1"/>
    </xf>
    <xf numFmtId="49" fontId="4" fillId="0" borderId="4" xfId="0" applyNumberFormat="1" applyFont="1" applyBorder="1" applyAlignment="1">
      <alignment wrapText="1"/>
    </xf>
    <xf numFmtId="0" fontId="4" fillId="0" borderId="5" xfId="0" applyFont="1" applyBorder="1"/>
    <xf numFmtId="49" fontId="4" fillId="0" borderId="4" xfId="0" applyNumberFormat="1" applyFont="1" applyBorder="1"/>
    <xf numFmtId="0" fontId="4" fillId="0" borderId="7" xfId="0" applyFont="1" applyBorder="1"/>
    <xf numFmtId="0" fontId="4" fillId="0" borderId="7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5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" sqref="B5"/>
    </sheetView>
  </sheetViews>
  <sheetFormatPr defaultColWidth="11"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P16"/>
  <sheetViews>
    <sheetView topLeftCell="A4" workbookViewId="0">
      <selection activeCell="I16" sqref="I16"/>
    </sheetView>
  </sheetViews>
  <sheetFormatPr defaultColWidth="11" defaultRowHeight="15.75"/>
  <cols>
    <col min="9" max="9" width="12.375" bestFit="1" customWidth="1"/>
    <col min="14" max="14" width="16" bestFit="1" customWidth="1"/>
  </cols>
  <sheetData>
    <row r="2" spans="5:16">
      <c r="E2" s="23" t="s">
        <v>7</v>
      </c>
      <c r="F2" s="23"/>
      <c r="G2" s="23"/>
      <c r="H2" s="23"/>
      <c r="I2" s="23"/>
      <c r="J2" s="23"/>
      <c r="K2" s="23"/>
      <c r="L2" s="23"/>
      <c r="N2" s="1" t="s">
        <v>6</v>
      </c>
    </row>
    <row r="4" spans="5:16" ht="47.25">
      <c r="E4" s="1" t="s">
        <v>0</v>
      </c>
      <c r="F4" s="1"/>
      <c r="G4" s="1" t="s">
        <v>1</v>
      </c>
      <c r="H4" s="1"/>
      <c r="I4" s="2" t="s">
        <v>8</v>
      </c>
      <c r="J4" s="2" t="s">
        <v>10</v>
      </c>
      <c r="K4" s="2" t="s">
        <v>11</v>
      </c>
      <c r="L4" s="1" t="s">
        <v>2</v>
      </c>
      <c r="N4" s="1" t="s">
        <v>3</v>
      </c>
      <c r="P4" s="1" t="s">
        <v>5</v>
      </c>
    </row>
    <row r="6" spans="5:16">
      <c r="E6">
        <v>10</v>
      </c>
      <c r="G6">
        <v>5</v>
      </c>
      <c r="L6">
        <f>E6+G6+I6+L5+J6</f>
        <v>15</v>
      </c>
      <c r="N6" t="s">
        <v>4</v>
      </c>
      <c r="P6">
        <v>1</v>
      </c>
    </row>
    <row r="7" spans="5:16">
      <c r="L7">
        <f t="shared" ref="L7:L15" si="0">E7+G7+I7+L6+J7</f>
        <v>15</v>
      </c>
    </row>
    <row r="8" spans="5:16">
      <c r="G8">
        <v>-7</v>
      </c>
      <c r="L8">
        <f t="shared" si="0"/>
        <v>8</v>
      </c>
      <c r="N8" t="s">
        <v>4</v>
      </c>
      <c r="P8">
        <v>2</v>
      </c>
    </row>
    <row r="9" spans="5:16">
      <c r="L9">
        <f t="shared" si="0"/>
        <v>8</v>
      </c>
    </row>
    <row r="10" spans="5:16">
      <c r="E10">
        <v>15</v>
      </c>
      <c r="L10">
        <f t="shared" si="0"/>
        <v>23</v>
      </c>
      <c r="N10">
        <v>-10</v>
      </c>
      <c r="P10">
        <v>3</v>
      </c>
    </row>
    <row r="11" spans="5:16">
      <c r="I11">
        <v>-10</v>
      </c>
      <c r="L11">
        <f t="shared" si="0"/>
        <v>13</v>
      </c>
    </row>
    <row r="12" spans="5:16">
      <c r="L12">
        <f t="shared" si="0"/>
        <v>13</v>
      </c>
    </row>
    <row r="13" spans="5:16">
      <c r="G13">
        <v>-13</v>
      </c>
      <c r="I13">
        <v>-10</v>
      </c>
      <c r="L13">
        <f t="shared" si="0"/>
        <v>-10</v>
      </c>
      <c r="N13" t="s">
        <v>9</v>
      </c>
      <c r="P13">
        <v>4</v>
      </c>
    </row>
    <row r="14" spans="5:16">
      <c r="L14">
        <f t="shared" si="0"/>
        <v>-10</v>
      </c>
    </row>
    <row r="15" spans="5:16" ht="47.25">
      <c r="G15">
        <v>5</v>
      </c>
      <c r="I15">
        <v>-10</v>
      </c>
      <c r="K15" s="3" t="s">
        <v>12</v>
      </c>
      <c r="L15">
        <f t="shared" si="0"/>
        <v>-15</v>
      </c>
    </row>
    <row r="16" spans="5:16">
      <c r="I16">
        <v>-4</v>
      </c>
      <c r="J16">
        <v>-6</v>
      </c>
    </row>
  </sheetData>
  <mergeCells count="1">
    <mergeCell ref="E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S43"/>
  <sheetViews>
    <sheetView zoomScale="92" workbookViewId="0">
      <selection activeCell="S28" sqref="S28"/>
    </sheetView>
  </sheetViews>
  <sheetFormatPr defaultColWidth="11" defaultRowHeight="21"/>
  <cols>
    <col min="6" max="6" width="25" style="4" customWidth="1"/>
    <col min="7" max="8" width="10.875" style="5"/>
    <col min="9" max="9" width="20.125" style="6" customWidth="1"/>
    <col min="10" max="10" width="15.625" style="5" bestFit="1" customWidth="1"/>
    <col min="11" max="11" width="10.875" style="5"/>
    <col min="12" max="12" width="16.5" style="6" bestFit="1" customWidth="1"/>
    <col min="13" max="13" width="10.875" style="5"/>
    <col min="14" max="14" width="13" style="5" customWidth="1"/>
    <col min="15" max="16" width="10.875" style="5"/>
    <col min="17" max="17" width="45.125" style="5" bestFit="1" customWidth="1"/>
    <col min="18" max="18" width="10.875" style="6"/>
    <col min="19" max="19" width="51.125" bestFit="1" customWidth="1"/>
  </cols>
  <sheetData>
    <row r="1" spans="6:19" ht="21.75" thickBot="1"/>
    <row r="2" spans="6:19" ht="21.75" thickBot="1">
      <c r="I2" s="24" t="s">
        <v>45</v>
      </c>
      <c r="J2" s="25"/>
      <c r="L2" s="24" t="s">
        <v>13</v>
      </c>
      <c r="M2" s="26"/>
      <c r="N2" s="26"/>
      <c r="O2" s="25"/>
    </row>
    <row r="3" spans="6:19" ht="147.75" thickBot="1">
      <c r="F3" s="15" t="s">
        <v>44</v>
      </c>
      <c r="I3" s="10" t="s">
        <v>30</v>
      </c>
      <c r="J3" s="11" t="s">
        <v>20</v>
      </c>
      <c r="L3" s="12" t="s">
        <v>2</v>
      </c>
      <c r="M3" s="13" t="s">
        <v>15</v>
      </c>
      <c r="N3" s="14" t="s">
        <v>33</v>
      </c>
      <c r="O3" s="11" t="s">
        <v>14</v>
      </c>
      <c r="Q3" s="16" t="s">
        <v>31</v>
      </c>
      <c r="S3" s="16" t="s">
        <v>42</v>
      </c>
    </row>
    <row r="5" spans="6:19">
      <c r="F5" s="4">
        <v>-10</v>
      </c>
      <c r="I5" s="6">
        <v>-10</v>
      </c>
      <c r="J5" s="5" t="s">
        <v>18</v>
      </c>
      <c r="L5" s="6">
        <v>-10</v>
      </c>
      <c r="M5" s="5">
        <v>0</v>
      </c>
      <c r="N5" s="5">
        <v>-10</v>
      </c>
      <c r="O5" s="5">
        <v>-10</v>
      </c>
      <c r="Q5" s="5">
        <v>0</v>
      </c>
      <c r="S5" s="6" t="s">
        <v>43</v>
      </c>
    </row>
    <row r="7" spans="6:19">
      <c r="F7" s="4">
        <v>-5</v>
      </c>
      <c r="I7" s="6" t="s">
        <v>122</v>
      </c>
      <c r="J7" s="5" t="s">
        <v>19</v>
      </c>
      <c r="L7" s="6" t="s">
        <v>122</v>
      </c>
      <c r="M7" s="5">
        <v>0</v>
      </c>
      <c r="N7" s="5">
        <v>-10</v>
      </c>
      <c r="O7" s="5">
        <v>-10</v>
      </c>
      <c r="Q7" s="5">
        <v>0</v>
      </c>
      <c r="S7" s="6"/>
    </row>
    <row r="8" spans="6:19">
      <c r="M8" s="5">
        <v>0</v>
      </c>
      <c r="N8" s="5">
        <v>-15</v>
      </c>
      <c r="O8" s="5">
        <v>-15</v>
      </c>
      <c r="Q8" s="5">
        <v>0</v>
      </c>
    </row>
    <row r="10" spans="6:19">
      <c r="F10" s="4">
        <v>2</v>
      </c>
      <c r="I10" s="6" t="s">
        <v>123</v>
      </c>
      <c r="J10" s="5" t="s">
        <v>16</v>
      </c>
      <c r="L10" s="6" t="s">
        <v>123</v>
      </c>
      <c r="M10" s="5">
        <v>0</v>
      </c>
      <c r="N10" s="5">
        <v>-15</v>
      </c>
      <c r="O10" s="5">
        <v>-15</v>
      </c>
      <c r="Q10" s="5">
        <v>0</v>
      </c>
      <c r="S10" s="6"/>
    </row>
    <row r="11" spans="6:19">
      <c r="L11" s="6" t="s">
        <v>124</v>
      </c>
      <c r="M11" s="5">
        <v>0</v>
      </c>
      <c r="N11" s="5">
        <v>-13</v>
      </c>
      <c r="O11" s="5">
        <v>-13</v>
      </c>
      <c r="Q11" s="5">
        <v>0</v>
      </c>
    </row>
    <row r="12" spans="6:19">
      <c r="Q12" s="5">
        <v>0</v>
      </c>
    </row>
    <row r="14" spans="6:19">
      <c r="F14" s="4">
        <v>16</v>
      </c>
      <c r="I14" s="6" t="s">
        <v>125</v>
      </c>
      <c r="J14" s="5" t="s">
        <v>17</v>
      </c>
      <c r="L14" s="6" t="s">
        <v>124</v>
      </c>
      <c r="M14" s="5">
        <v>0</v>
      </c>
      <c r="N14" s="5">
        <v>-13</v>
      </c>
      <c r="O14" s="5">
        <v>-13</v>
      </c>
      <c r="Q14" s="5">
        <v>0</v>
      </c>
      <c r="S14" s="6"/>
    </row>
    <row r="15" spans="6:19">
      <c r="L15" s="6" t="s">
        <v>126</v>
      </c>
      <c r="M15" s="5">
        <v>0</v>
      </c>
      <c r="N15" s="5">
        <v>0</v>
      </c>
      <c r="O15" s="5">
        <v>0</v>
      </c>
      <c r="Q15" s="5">
        <v>0</v>
      </c>
    </row>
    <row r="16" spans="6:19">
      <c r="J16" s="5" t="s">
        <v>18</v>
      </c>
      <c r="L16" s="6" t="s">
        <v>127</v>
      </c>
      <c r="M16" s="5">
        <v>0</v>
      </c>
      <c r="N16" s="5">
        <v>3</v>
      </c>
      <c r="O16" s="5">
        <v>3</v>
      </c>
    </row>
    <row r="18" spans="6:19">
      <c r="I18" s="6" t="s">
        <v>125</v>
      </c>
      <c r="J18" s="5" t="s">
        <v>17</v>
      </c>
      <c r="L18" s="6" t="s">
        <v>124</v>
      </c>
      <c r="M18" s="5">
        <v>0</v>
      </c>
      <c r="N18" s="5">
        <v>-13</v>
      </c>
      <c r="O18" s="5">
        <v>-13</v>
      </c>
    </row>
    <row r="19" spans="6:19">
      <c r="M19" s="5">
        <v>-13</v>
      </c>
      <c r="N19" s="5">
        <v>0</v>
      </c>
      <c r="O19" s="5">
        <v>0</v>
      </c>
      <c r="Q19" s="5">
        <v>13</v>
      </c>
      <c r="S19" s="6" t="s">
        <v>132</v>
      </c>
    </row>
    <row r="20" spans="6:19">
      <c r="J20" s="7" t="s">
        <v>18</v>
      </c>
      <c r="K20" s="7"/>
      <c r="L20" s="8" t="s">
        <v>48</v>
      </c>
      <c r="M20" s="7">
        <v>0</v>
      </c>
      <c r="N20" s="7">
        <v>16</v>
      </c>
      <c r="O20" s="7">
        <v>16</v>
      </c>
    </row>
    <row r="24" spans="6:19">
      <c r="F24" s="4">
        <v>8</v>
      </c>
      <c r="I24" s="6" t="s">
        <v>128</v>
      </c>
      <c r="J24" s="5" t="s">
        <v>19</v>
      </c>
      <c r="L24" s="6" t="s">
        <v>128</v>
      </c>
      <c r="M24" s="5">
        <v>0</v>
      </c>
      <c r="N24" s="5">
        <v>3</v>
      </c>
      <c r="O24" s="5">
        <v>3</v>
      </c>
      <c r="Q24" s="5">
        <v>0</v>
      </c>
      <c r="S24" s="9"/>
    </row>
    <row r="25" spans="6:19">
      <c r="M25" s="5">
        <v>0</v>
      </c>
      <c r="N25" s="5">
        <v>8</v>
      </c>
      <c r="O25" s="5">
        <v>8</v>
      </c>
      <c r="Q25" s="5">
        <v>0</v>
      </c>
    </row>
    <row r="27" spans="6:19">
      <c r="F27" s="4">
        <v>-6</v>
      </c>
      <c r="I27" s="6" t="s">
        <v>129</v>
      </c>
      <c r="J27" s="5" t="s">
        <v>16</v>
      </c>
      <c r="L27" s="6" t="s">
        <v>129</v>
      </c>
      <c r="M27" s="5">
        <v>0</v>
      </c>
      <c r="N27" s="5">
        <v>8</v>
      </c>
      <c r="O27" s="5">
        <v>8</v>
      </c>
      <c r="Q27" s="5">
        <v>1</v>
      </c>
      <c r="S27" s="6" t="s">
        <v>133</v>
      </c>
    </row>
    <row r="28" spans="6:19">
      <c r="M28" s="5">
        <v>7</v>
      </c>
      <c r="N28" s="5">
        <v>1</v>
      </c>
      <c r="O28" s="5">
        <v>1</v>
      </c>
    </row>
    <row r="29" spans="6:19">
      <c r="J29" s="7" t="s">
        <v>17</v>
      </c>
      <c r="K29" s="7"/>
      <c r="L29" s="8" t="s">
        <v>130</v>
      </c>
      <c r="M29" s="7">
        <v>0</v>
      </c>
      <c r="N29" s="7">
        <v>0</v>
      </c>
      <c r="O29" s="7">
        <v>0</v>
      </c>
    </row>
    <row r="30" spans="6:19">
      <c r="S30" s="9"/>
    </row>
    <row r="31" spans="6:19">
      <c r="F31" s="4">
        <v>10</v>
      </c>
      <c r="I31" s="6" t="s">
        <v>131</v>
      </c>
      <c r="J31" s="5" t="s">
        <v>18</v>
      </c>
      <c r="L31" s="6" t="s">
        <v>29</v>
      </c>
      <c r="M31" s="5">
        <v>0</v>
      </c>
      <c r="N31" s="5">
        <v>10</v>
      </c>
      <c r="O31" s="5">
        <v>10</v>
      </c>
    </row>
    <row r="33" spans="6:19">
      <c r="J33" s="7"/>
      <c r="K33" s="7"/>
      <c r="L33" s="8"/>
      <c r="M33" s="7"/>
      <c r="N33" s="7"/>
      <c r="O33" s="7"/>
      <c r="P33" s="7"/>
      <c r="Q33" s="7"/>
      <c r="S33" s="17"/>
    </row>
    <row r="35" spans="6:19">
      <c r="F35" s="4">
        <v>20</v>
      </c>
    </row>
    <row r="36" spans="6:19" ht="63">
      <c r="F36" s="4">
        <v>-5</v>
      </c>
      <c r="I36" s="9" t="s">
        <v>36</v>
      </c>
      <c r="J36" s="5" t="s">
        <v>19</v>
      </c>
      <c r="L36" s="6" t="s">
        <v>37</v>
      </c>
      <c r="M36" s="5">
        <v>0</v>
      </c>
      <c r="N36" s="5">
        <v>10</v>
      </c>
      <c r="O36" s="5">
        <v>10</v>
      </c>
      <c r="Q36" s="5">
        <v>0</v>
      </c>
      <c r="S36" s="9" t="s">
        <v>55</v>
      </c>
    </row>
    <row r="37" spans="6:19">
      <c r="I37" s="9"/>
      <c r="M37" s="5">
        <v>0</v>
      </c>
      <c r="N37" s="5">
        <v>15</v>
      </c>
      <c r="O37" s="5">
        <v>15</v>
      </c>
    </row>
    <row r="39" spans="6:19" ht="42">
      <c r="F39" s="4">
        <v>20</v>
      </c>
      <c r="I39" s="6" t="s">
        <v>38</v>
      </c>
      <c r="J39" s="5" t="s">
        <v>19</v>
      </c>
      <c r="L39" s="6" t="s">
        <v>38</v>
      </c>
      <c r="M39" s="5">
        <v>0</v>
      </c>
      <c r="N39" s="5">
        <v>15</v>
      </c>
      <c r="O39" s="5">
        <v>15</v>
      </c>
      <c r="Q39" s="5">
        <v>0</v>
      </c>
      <c r="S39" s="9" t="s">
        <v>56</v>
      </c>
    </row>
    <row r="40" spans="6:19">
      <c r="L40" s="6" t="s">
        <v>39</v>
      </c>
      <c r="M40" s="5">
        <v>0</v>
      </c>
      <c r="N40" s="5">
        <v>20</v>
      </c>
      <c r="O40" s="5">
        <v>15</v>
      </c>
      <c r="Q40" s="5">
        <v>0</v>
      </c>
    </row>
    <row r="42" spans="6:19" ht="42">
      <c r="F42" s="4">
        <v>17</v>
      </c>
      <c r="I42" s="6" t="s">
        <v>40</v>
      </c>
      <c r="J42" s="5" t="s">
        <v>16</v>
      </c>
      <c r="L42" s="6" t="s">
        <v>40</v>
      </c>
      <c r="M42" s="5">
        <v>0</v>
      </c>
      <c r="N42" s="5">
        <v>20</v>
      </c>
      <c r="O42" s="5">
        <v>15</v>
      </c>
      <c r="Q42" s="5">
        <v>0</v>
      </c>
      <c r="S42" s="9" t="s">
        <v>57</v>
      </c>
    </row>
    <row r="43" spans="6:19">
      <c r="L43" s="6" t="s">
        <v>41</v>
      </c>
      <c r="M43" s="5">
        <v>0</v>
      </c>
      <c r="N43" s="5">
        <v>17</v>
      </c>
      <c r="O43" s="5">
        <v>15</v>
      </c>
      <c r="Q43" s="5">
        <v>0</v>
      </c>
    </row>
  </sheetData>
  <mergeCells count="2">
    <mergeCell ref="I2:J2"/>
    <mergeCell ref="L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S38"/>
  <sheetViews>
    <sheetView topLeftCell="A3" zoomScale="92" workbookViewId="0">
      <selection activeCell="F5" sqref="F5"/>
    </sheetView>
  </sheetViews>
  <sheetFormatPr defaultColWidth="11" defaultRowHeight="21"/>
  <cols>
    <col min="6" max="6" width="25" style="4" customWidth="1"/>
    <col min="7" max="8" width="10.875" style="5"/>
    <col min="9" max="9" width="20.125" style="6" customWidth="1"/>
    <col min="10" max="10" width="15.625" style="5" bestFit="1" customWidth="1"/>
    <col min="11" max="11" width="10.875" style="5"/>
    <col min="12" max="12" width="16.5" style="6" bestFit="1" customWidth="1"/>
    <col min="13" max="13" width="10.875" style="5"/>
    <col min="14" max="14" width="13" style="5" customWidth="1"/>
    <col min="15" max="16" width="10.875" style="5"/>
    <col min="17" max="17" width="45.125" style="5" bestFit="1" customWidth="1"/>
    <col min="18" max="18" width="10.875" style="6"/>
    <col min="19" max="19" width="47.125" bestFit="1" customWidth="1"/>
  </cols>
  <sheetData>
    <row r="1" spans="6:19" ht="21.75" thickBot="1"/>
    <row r="2" spans="6:19" ht="21.75" thickBot="1">
      <c r="I2" s="24" t="s">
        <v>45</v>
      </c>
      <c r="J2" s="25"/>
      <c r="L2" s="24" t="s">
        <v>13</v>
      </c>
      <c r="M2" s="26"/>
      <c r="N2" s="26"/>
      <c r="O2" s="25"/>
    </row>
    <row r="3" spans="6:19" ht="147.75" thickBot="1">
      <c r="F3" s="15" t="s">
        <v>44</v>
      </c>
      <c r="I3" s="10" t="s">
        <v>30</v>
      </c>
      <c r="J3" s="11" t="s">
        <v>20</v>
      </c>
      <c r="L3" s="12" t="s">
        <v>2</v>
      </c>
      <c r="M3" s="13" t="s">
        <v>15</v>
      </c>
      <c r="N3" s="14" t="s">
        <v>33</v>
      </c>
      <c r="O3" s="11" t="s">
        <v>14</v>
      </c>
      <c r="Q3" s="16" t="s">
        <v>31</v>
      </c>
      <c r="S3" s="16" t="s">
        <v>42</v>
      </c>
    </row>
    <row r="5" spans="6:19">
      <c r="F5" s="4">
        <v>-10</v>
      </c>
      <c r="I5" s="6">
        <v>-10</v>
      </c>
      <c r="J5" s="5" t="s">
        <v>18</v>
      </c>
      <c r="L5" s="6">
        <v>-10</v>
      </c>
      <c r="M5" s="5">
        <v>0</v>
      </c>
      <c r="N5" s="5">
        <v>-10</v>
      </c>
      <c r="O5" s="5">
        <v>-10</v>
      </c>
      <c r="Q5" s="5">
        <v>0</v>
      </c>
      <c r="S5" s="6" t="s">
        <v>43</v>
      </c>
    </row>
    <row r="7" spans="6:19">
      <c r="F7" s="4">
        <v>-5</v>
      </c>
      <c r="I7" s="6" t="s">
        <v>23</v>
      </c>
      <c r="J7" s="5" t="s">
        <v>16</v>
      </c>
      <c r="L7" s="6" t="s">
        <v>23</v>
      </c>
      <c r="M7" s="5">
        <v>0</v>
      </c>
      <c r="N7" s="5">
        <v>-10</v>
      </c>
      <c r="O7" s="5">
        <v>-10</v>
      </c>
      <c r="Q7" s="5">
        <v>0</v>
      </c>
      <c r="S7" s="6" t="s">
        <v>46</v>
      </c>
    </row>
    <row r="8" spans="6:19">
      <c r="M8" s="5">
        <v>0</v>
      </c>
      <c r="N8" s="5">
        <v>-5</v>
      </c>
      <c r="O8" s="5">
        <v>-5</v>
      </c>
      <c r="Q8" s="5">
        <v>0</v>
      </c>
    </row>
    <row r="10" spans="6:19">
      <c r="F10" s="4">
        <v>2</v>
      </c>
      <c r="I10" s="6" t="s">
        <v>22</v>
      </c>
      <c r="J10" s="5" t="s">
        <v>17</v>
      </c>
      <c r="L10" s="6" t="s">
        <v>28</v>
      </c>
      <c r="M10" s="5">
        <v>0</v>
      </c>
      <c r="N10" s="5">
        <v>-5</v>
      </c>
      <c r="O10" s="5">
        <v>-5</v>
      </c>
      <c r="Q10" s="5">
        <v>0</v>
      </c>
      <c r="S10" s="6" t="s">
        <v>47</v>
      </c>
    </row>
    <row r="11" spans="6:19">
      <c r="L11" s="6" t="s">
        <v>27</v>
      </c>
      <c r="M11" s="5">
        <v>0</v>
      </c>
      <c r="N11" s="5">
        <v>0</v>
      </c>
      <c r="O11" s="5">
        <v>0</v>
      </c>
      <c r="Q11" s="5">
        <v>0</v>
      </c>
    </row>
    <row r="12" spans="6:19">
      <c r="J12" s="5" t="s">
        <v>18</v>
      </c>
      <c r="L12" s="6">
        <v>2</v>
      </c>
      <c r="M12" s="5">
        <v>0</v>
      </c>
      <c r="N12" s="5">
        <v>2</v>
      </c>
      <c r="O12" s="5">
        <v>2</v>
      </c>
      <c r="Q12" s="5">
        <v>0</v>
      </c>
    </row>
    <row r="14" spans="6:19">
      <c r="F14" s="4">
        <v>16</v>
      </c>
      <c r="I14" s="6" t="s">
        <v>21</v>
      </c>
      <c r="J14" s="5" t="s">
        <v>19</v>
      </c>
      <c r="L14" s="6" t="s">
        <v>21</v>
      </c>
      <c r="M14" s="5">
        <v>0</v>
      </c>
      <c r="N14" s="5">
        <v>2</v>
      </c>
      <c r="O14" s="5">
        <v>2</v>
      </c>
      <c r="Q14" s="5">
        <v>0</v>
      </c>
      <c r="S14" s="6" t="s">
        <v>49</v>
      </c>
    </row>
    <row r="15" spans="6:19">
      <c r="L15" s="6" t="s">
        <v>48</v>
      </c>
      <c r="M15" s="5">
        <v>0</v>
      </c>
      <c r="N15" s="5">
        <v>16</v>
      </c>
      <c r="O15" s="5">
        <v>16</v>
      </c>
      <c r="Q15" s="5">
        <v>0</v>
      </c>
    </row>
    <row r="17" spans="6:19" ht="42">
      <c r="F17" s="4">
        <v>8</v>
      </c>
      <c r="I17" s="6" t="s">
        <v>32</v>
      </c>
      <c r="J17" s="5" t="s">
        <v>16</v>
      </c>
      <c r="L17" s="6" t="s">
        <v>32</v>
      </c>
      <c r="M17" s="5">
        <v>0</v>
      </c>
      <c r="N17" s="5">
        <v>16</v>
      </c>
      <c r="O17" s="5">
        <v>16</v>
      </c>
      <c r="Q17" s="5">
        <v>0</v>
      </c>
      <c r="S17" s="9" t="s">
        <v>50</v>
      </c>
    </row>
    <row r="18" spans="6:19">
      <c r="L18" s="6" t="s">
        <v>24</v>
      </c>
      <c r="M18" s="5">
        <v>12</v>
      </c>
      <c r="N18" s="5">
        <v>4</v>
      </c>
      <c r="O18" s="5">
        <v>4</v>
      </c>
      <c r="Q18" s="5">
        <v>4</v>
      </c>
    </row>
    <row r="20" spans="6:19" ht="84">
      <c r="J20" s="7" t="s">
        <v>17</v>
      </c>
      <c r="K20" s="7"/>
      <c r="L20" s="8">
        <v>4</v>
      </c>
      <c r="M20" s="7">
        <v>0</v>
      </c>
      <c r="N20" s="7">
        <v>4</v>
      </c>
      <c r="O20" s="7">
        <v>4</v>
      </c>
      <c r="P20" s="7"/>
      <c r="Q20" s="7">
        <v>4</v>
      </c>
      <c r="S20" s="17" t="s">
        <v>53</v>
      </c>
    </row>
    <row r="21" spans="6:19">
      <c r="J21" s="7"/>
      <c r="K21" s="7"/>
      <c r="L21" s="8">
        <v>0</v>
      </c>
      <c r="M21" s="7">
        <v>0</v>
      </c>
      <c r="N21" s="7">
        <v>0</v>
      </c>
      <c r="O21" s="7">
        <v>0</v>
      </c>
      <c r="P21" s="7"/>
      <c r="Q21" s="7">
        <v>4</v>
      </c>
    </row>
    <row r="23" spans="6:19">
      <c r="F23" s="4">
        <v>-6</v>
      </c>
      <c r="I23" s="6" t="s">
        <v>25</v>
      </c>
      <c r="J23" s="5" t="s">
        <v>18</v>
      </c>
      <c r="L23" s="6">
        <v>-6</v>
      </c>
      <c r="M23" s="5">
        <v>0</v>
      </c>
      <c r="N23" s="5">
        <v>-6</v>
      </c>
      <c r="O23" s="5">
        <v>-6</v>
      </c>
      <c r="Q23" s="5">
        <v>4</v>
      </c>
      <c r="S23" s="6" t="s">
        <v>51</v>
      </c>
    </row>
    <row r="25" spans="6:19" ht="63">
      <c r="F25" s="4">
        <v>6</v>
      </c>
      <c r="I25" s="6" t="s">
        <v>35</v>
      </c>
      <c r="J25" s="5" t="s">
        <v>17</v>
      </c>
      <c r="L25" s="6" t="s">
        <v>26</v>
      </c>
      <c r="M25" s="5">
        <v>0</v>
      </c>
      <c r="N25" s="5">
        <v>-6</v>
      </c>
      <c r="O25" s="5">
        <v>-6</v>
      </c>
      <c r="S25" s="9" t="s">
        <v>52</v>
      </c>
    </row>
    <row r="26" spans="6:19">
      <c r="L26" s="6" t="s">
        <v>27</v>
      </c>
      <c r="M26" s="5">
        <v>-4</v>
      </c>
      <c r="N26" s="5">
        <v>-2</v>
      </c>
      <c r="O26" s="5">
        <v>0</v>
      </c>
      <c r="Q26" s="5">
        <v>0</v>
      </c>
      <c r="R26" s="6" t="s">
        <v>34</v>
      </c>
    </row>
    <row r="28" spans="6:19" ht="84">
      <c r="J28" s="7" t="s">
        <v>18</v>
      </c>
      <c r="K28" s="7"/>
      <c r="L28" s="8" t="s">
        <v>29</v>
      </c>
      <c r="M28" s="7">
        <v>0</v>
      </c>
      <c r="N28" s="7">
        <v>10</v>
      </c>
      <c r="O28" s="7">
        <v>10</v>
      </c>
      <c r="P28" s="7"/>
      <c r="Q28" s="7"/>
      <c r="S28" s="17" t="s">
        <v>54</v>
      </c>
    </row>
    <row r="30" spans="6:19">
      <c r="F30" s="4">
        <v>20</v>
      </c>
    </row>
    <row r="31" spans="6:19" ht="63">
      <c r="F31" s="4">
        <v>-5</v>
      </c>
      <c r="I31" s="9" t="s">
        <v>36</v>
      </c>
      <c r="J31" s="5" t="s">
        <v>19</v>
      </c>
      <c r="L31" s="6" t="s">
        <v>37</v>
      </c>
      <c r="M31" s="5">
        <v>0</v>
      </c>
      <c r="N31" s="5">
        <v>10</v>
      </c>
      <c r="O31" s="5">
        <v>10</v>
      </c>
      <c r="Q31" s="5">
        <v>0</v>
      </c>
      <c r="S31" s="9" t="s">
        <v>55</v>
      </c>
    </row>
    <row r="32" spans="6:19">
      <c r="I32" s="9"/>
      <c r="M32" s="5">
        <v>0</v>
      </c>
      <c r="N32" s="5">
        <v>15</v>
      </c>
      <c r="O32" s="5">
        <v>15</v>
      </c>
    </row>
    <row r="34" spans="6:19" ht="42">
      <c r="F34" s="4">
        <v>20</v>
      </c>
      <c r="I34" s="6" t="s">
        <v>38</v>
      </c>
      <c r="J34" s="5" t="s">
        <v>19</v>
      </c>
      <c r="L34" s="6" t="s">
        <v>38</v>
      </c>
      <c r="M34" s="5">
        <v>0</v>
      </c>
      <c r="N34" s="5">
        <v>15</v>
      </c>
      <c r="O34" s="5">
        <v>15</v>
      </c>
      <c r="Q34" s="5">
        <v>0</v>
      </c>
      <c r="S34" s="9" t="s">
        <v>56</v>
      </c>
    </row>
    <row r="35" spans="6:19">
      <c r="L35" s="6" t="s">
        <v>39</v>
      </c>
      <c r="M35" s="5">
        <v>0</v>
      </c>
      <c r="N35" s="5">
        <v>20</v>
      </c>
      <c r="O35" s="5">
        <v>15</v>
      </c>
      <c r="Q35" s="5">
        <v>0</v>
      </c>
    </row>
    <row r="37" spans="6:19" ht="42">
      <c r="F37" s="4">
        <v>17</v>
      </c>
      <c r="I37" s="6" t="s">
        <v>40</v>
      </c>
      <c r="J37" s="5" t="s">
        <v>16</v>
      </c>
      <c r="L37" s="6" t="s">
        <v>40</v>
      </c>
      <c r="M37" s="5">
        <v>0</v>
      </c>
      <c r="N37" s="5">
        <v>20</v>
      </c>
      <c r="O37" s="5">
        <v>15</v>
      </c>
      <c r="Q37" s="5">
        <v>0</v>
      </c>
      <c r="S37" s="9" t="s">
        <v>57</v>
      </c>
    </row>
    <row r="38" spans="6:19">
      <c r="L38" s="6" t="s">
        <v>41</v>
      </c>
      <c r="M38" s="5">
        <v>0</v>
      </c>
      <c r="N38" s="5">
        <v>17</v>
      </c>
      <c r="O38" s="5">
        <v>15</v>
      </c>
      <c r="Q38" s="5">
        <v>0</v>
      </c>
    </row>
  </sheetData>
  <mergeCells count="2">
    <mergeCell ref="L2:O2"/>
    <mergeCell ref="I2:J2"/>
  </mergeCells>
  <pageMargins left="0.7" right="0.7" top="0.75" bottom="0.75" header="0.3" footer="0.3"/>
  <ignoredErrors>
    <ignoredError sqref="L28 L35 L38 L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1"/>
  <sheetViews>
    <sheetView workbookViewId="0">
      <selection activeCell="G5" sqref="G5"/>
    </sheetView>
  </sheetViews>
  <sheetFormatPr defaultColWidth="11" defaultRowHeight="15.75"/>
  <cols>
    <col min="3" max="3" width="55.5" bestFit="1" customWidth="1"/>
    <col min="5" max="5" width="16" bestFit="1" customWidth="1"/>
    <col min="6" max="6" width="11.625" customWidth="1"/>
    <col min="7" max="7" width="34.125" bestFit="1" customWidth="1"/>
    <col min="9" max="9" width="16" bestFit="1" customWidth="1"/>
    <col min="11" max="11" width="41.875" customWidth="1"/>
    <col min="16" max="16" width="22.625" bestFit="1" customWidth="1"/>
    <col min="18" max="18" width="50.375" bestFit="1" customWidth="1"/>
    <col min="20" max="20" width="31.125" bestFit="1" customWidth="1"/>
  </cols>
  <sheetData>
    <row r="2" spans="2:20" ht="110.25">
      <c r="C2" s="1" t="s">
        <v>58</v>
      </c>
      <c r="D2" s="1" t="s">
        <v>98</v>
      </c>
      <c r="E2" s="1" t="s">
        <v>103</v>
      </c>
      <c r="G2" s="1" t="s">
        <v>61</v>
      </c>
      <c r="H2" s="1" t="s">
        <v>98</v>
      </c>
      <c r="I2" s="1" t="s">
        <v>103</v>
      </c>
      <c r="K2" s="2" t="s">
        <v>117</v>
      </c>
      <c r="L2" s="1" t="s">
        <v>98</v>
      </c>
      <c r="P2" s="1" t="s">
        <v>120</v>
      </c>
      <c r="R2" s="1" t="s">
        <v>92</v>
      </c>
      <c r="T2" s="1" t="s">
        <v>62</v>
      </c>
    </row>
    <row r="4" spans="2:20" ht="94.5">
      <c r="B4">
        <v>1</v>
      </c>
      <c r="C4" s="3" t="s">
        <v>91</v>
      </c>
      <c r="D4" t="s">
        <v>99</v>
      </c>
      <c r="F4">
        <v>1</v>
      </c>
      <c r="G4" s="3" t="s">
        <v>65</v>
      </c>
      <c r="H4" t="s">
        <v>99</v>
      </c>
      <c r="J4">
        <v>1</v>
      </c>
      <c r="K4" s="18" t="s">
        <v>85</v>
      </c>
      <c r="L4" t="s">
        <v>101</v>
      </c>
      <c r="P4" t="s">
        <v>66</v>
      </c>
      <c r="Q4">
        <v>1</v>
      </c>
      <c r="R4" t="s">
        <v>94</v>
      </c>
      <c r="T4" t="s">
        <v>67</v>
      </c>
    </row>
    <row r="5" spans="2:20" ht="94.5">
      <c r="B5">
        <v>2</v>
      </c>
      <c r="C5" s="18" t="s">
        <v>73</v>
      </c>
      <c r="D5" t="s">
        <v>99</v>
      </c>
      <c r="F5">
        <v>2</v>
      </c>
      <c r="G5" s="3" t="s">
        <v>69</v>
      </c>
      <c r="H5" t="s">
        <v>99</v>
      </c>
      <c r="J5">
        <v>2</v>
      </c>
      <c r="K5" s="18" t="s">
        <v>86</v>
      </c>
      <c r="L5" t="s">
        <v>101</v>
      </c>
      <c r="Q5">
        <v>2</v>
      </c>
      <c r="R5" t="s">
        <v>95</v>
      </c>
      <c r="T5" t="s">
        <v>71</v>
      </c>
    </row>
    <row r="6" spans="2:20" ht="173.25">
      <c r="B6">
        <v>3</v>
      </c>
      <c r="C6" s="18" t="s">
        <v>109</v>
      </c>
      <c r="D6" t="s">
        <v>99</v>
      </c>
      <c r="F6">
        <v>3</v>
      </c>
      <c r="G6" s="3" t="s">
        <v>88</v>
      </c>
      <c r="H6" t="s">
        <v>99</v>
      </c>
      <c r="J6">
        <v>3</v>
      </c>
      <c r="K6" s="18" t="s">
        <v>89</v>
      </c>
      <c r="L6" t="s">
        <v>101</v>
      </c>
      <c r="T6" t="s">
        <v>84</v>
      </c>
    </row>
    <row r="7" spans="2:20" ht="31.5">
      <c r="B7">
        <v>4</v>
      </c>
      <c r="C7" s="3" t="s">
        <v>106</v>
      </c>
      <c r="D7" t="s">
        <v>101</v>
      </c>
      <c r="E7" s="20" t="s">
        <v>104</v>
      </c>
      <c r="F7">
        <v>4</v>
      </c>
      <c r="G7" s="3" t="s">
        <v>64</v>
      </c>
      <c r="H7" t="s">
        <v>99</v>
      </c>
      <c r="J7">
        <v>4</v>
      </c>
      <c r="K7" s="19" t="s">
        <v>90</v>
      </c>
      <c r="L7" t="s">
        <v>101</v>
      </c>
    </row>
    <row r="8" spans="2:20" ht="141.75">
      <c r="B8">
        <v>5</v>
      </c>
      <c r="C8" t="s">
        <v>68</v>
      </c>
      <c r="D8" t="s">
        <v>99</v>
      </c>
      <c r="F8">
        <v>5</v>
      </c>
      <c r="G8" s="18" t="s">
        <v>111</v>
      </c>
      <c r="H8" t="s">
        <v>101</v>
      </c>
      <c r="J8">
        <v>5</v>
      </c>
      <c r="K8" s="18" t="s">
        <v>121</v>
      </c>
      <c r="L8" t="s">
        <v>101</v>
      </c>
    </row>
    <row r="9" spans="2:20" ht="141.75">
      <c r="B9">
        <v>6</v>
      </c>
      <c r="C9" t="s">
        <v>59</v>
      </c>
      <c r="D9" t="s">
        <v>99</v>
      </c>
      <c r="F9">
        <v>6</v>
      </c>
      <c r="G9" s="3" t="s">
        <v>70</v>
      </c>
      <c r="H9" t="s">
        <v>99</v>
      </c>
      <c r="J9">
        <v>6</v>
      </c>
      <c r="K9" s="18" t="s">
        <v>93</v>
      </c>
      <c r="L9" t="s">
        <v>101</v>
      </c>
    </row>
    <row r="10" spans="2:20" ht="78.75">
      <c r="B10">
        <v>7</v>
      </c>
      <c r="C10" s="3" t="s">
        <v>108</v>
      </c>
      <c r="D10" t="s">
        <v>99</v>
      </c>
      <c r="F10">
        <v>7</v>
      </c>
      <c r="G10" s="3" t="s">
        <v>87</v>
      </c>
      <c r="H10" t="s">
        <v>99</v>
      </c>
      <c r="J10">
        <v>7</v>
      </c>
      <c r="K10" s="18" t="s">
        <v>115</v>
      </c>
      <c r="L10" t="s">
        <v>101</v>
      </c>
    </row>
    <row r="11" spans="2:20" ht="31.5">
      <c r="B11">
        <v>8</v>
      </c>
      <c r="C11" s="3" t="s">
        <v>60</v>
      </c>
      <c r="D11" t="s">
        <v>100</v>
      </c>
      <c r="F11">
        <v>8</v>
      </c>
      <c r="G11" s="3" t="s">
        <v>83</v>
      </c>
      <c r="H11" t="s">
        <v>99</v>
      </c>
      <c r="I11" s="20" t="s">
        <v>104</v>
      </c>
      <c r="J11">
        <v>8</v>
      </c>
      <c r="K11" s="18" t="s">
        <v>96</v>
      </c>
      <c r="L11" t="s">
        <v>99</v>
      </c>
    </row>
    <row r="12" spans="2:20" ht="78.75">
      <c r="B12">
        <v>9</v>
      </c>
      <c r="C12" s="3" t="s">
        <v>110</v>
      </c>
      <c r="D12" t="s">
        <v>99</v>
      </c>
      <c r="E12" s="20" t="s">
        <v>104</v>
      </c>
      <c r="F12">
        <v>9</v>
      </c>
      <c r="G12" s="3" t="s">
        <v>81</v>
      </c>
      <c r="H12" t="s">
        <v>99</v>
      </c>
      <c r="I12" s="20" t="s">
        <v>104</v>
      </c>
      <c r="J12">
        <v>9</v>
      </c>
      <c r="K12" s="18" t="s">
        <v>118</v>
      </c>
    </row>
    <row r="13" spans="2:20" ht="126">
      <c r="B13">
        <v>10</v>
      </c>
      <c r="C13" s="3" t="s">
        <v>63</v>
      </c>
      <c r="D13" t="s">
        <v>99</v>
      </c>
      <c r="F13">
        <v>10</v>
      </c>
      <c r="G13" s="3" t="s">
        <v>72</v>
      </c>
      <c r="H13" t="s">
        <v>99</v>
      </c>
      <c r="I13" s="20" t="s">
        <v>104</v>
      </c>
      <c r="J13">
        <v>10</v>
      </c>
      <c r="K13" s="18" t="s">
        <v>119</v>
      </c>
    </row>
    <row r="14" spans="2:20" ht="77.25">
      <c r="B14">
        <v>11</v>
      </c>
      <c r="C14" s="3" t="s">
        <v>74</v>
      </c>
      <c r="D14" t="s">
        <v>99</v>
      </c>
      <c r="E14" s="20" t="s">
        <v>104</v>
      </c>
      <c r="F14">
        <v>11</v>
      </c>
      <c r="G14" s="3" t="s">
        <v>82</v>
      </c>
      <c r="H14" t="s">
        <v>100</v>
      </c>
    </row>
    <row r="15" spans="2:20" ht="47.25">
      <c r="B15">
        <v>12</v>
      </c>
      <c r="C15" s="3" t="s">
        <v>80</v>
      </c>
      <c r="D15" t="s">
        <v>99</v>
      </c>
      <c r="E15" s="20" t="s">
        <v>105</v>
      </c>
      <c r="F15">
        <v>12</v>
      </c>
      <c r="G15" s="3" t="s">
        <v>112</v>
      </c>
      <c r="H15" t="s">
        <v>99</v>
      </c>
    </row>
    <row r="16" spans="2:20" ht="47.25">
      <c r="B16">
        <v>13</v>
      </c>
      <c r="C16" s="3" t="s">
        <v>79</v>
      </c>
      <c r="D16" t="s">
        <v>99</v>
      </c>
      <c r="E16" s="20" t="s">
        <v>104</v>
      </c>
      <c r="F16">
        <v>13</v>
      </c>
      <c r="G16" s="18" t="s">
        <v>75</v>
      </c>
      <c r="H16" t="s">
        <v>99</v>
      </c>
      <c r="I16" s="20" t="s">
        <v>104</v>
      </c>
    </row>
    <row r="17" spans="2:9" ht="78.75">
      <c r="B17">
        <v>14</v>
      </c>
      <c r="C17" s="3" t="s">
        <v>76</v>
      </c>
      <c r="D17" t="s">
        <v>99</v>
      </c>
      <c r="E17" s="20" t="s">
        <v>104</v>
      </c>
      <c r="F17">
        <v>14</v>
      </c>
      <c r="G17" s="3" t="s">
        <v>97</v>
      </c>
      <c r="H17" t="s">
        <v>99</v>
      </c>
      <c r="I17" s="20" t="s">
        <v>104</v>
      </c>
    </row>
    <row r="18" spans="2:9" ht="94.5">
      <c r="B18">
        <v>15</v>
      </c>
      <c r="C18" s="3" t="s">
        <v>77</v>
      </c>
      <c r="D18" t="s">
        <v>99</v>
      </c>
      <c r="F18">
        <v>15</v>
      </c>
      <c r="G18" s="3" t="s">
        <v>102</v>
      </c>
      <c r="H18" t="s">
        <v>99</v>
      </c>
    </row>
    <row r="19" spans="2:9" ht="47.25">
      <c r="B19">
        <v>16</v>
      </c>
      <c r="C19" s="3" t="s">
        <v>78</v>
      </c>
      <c r="D19" t="s">
        <v>99</v>
      </c>
      <c r="F19">
        <v>16</v>
      </c>
      <c r="G19" s="3" t="s">
        <v>114</v>
      </c>
      <c r="H19" t="s">
        <v>99</v>
      </c>
    </row>
    <row r="20" spans="2:9" ht="94.5">
      <c r="B20">
        <v>17</v>
      </c>
      <c r="C20" s="3" t="s">
        <v>107</v>
      </c>
      <c r="D20" t="s">
        <v>99</v>
      </c>
      <c r="F20">
        <v>17</v>
      </c>
      <c r="G20" s="3" t="s">
        <v>113</v>
      </c>
      <c r="H20" t="s">
        <v>100</v>
      </c>
      <c r="I20" t="s">
        <v>104</v>
      </c>
    </row>
    <row r="21" spans="2:9">
      <c r="B21">
        <v>18</v>
      </c>
      <c r="C21" s="3" t="s">
        <v>116</v>
      </c>
    </row>
  </sheetData>
  <autoFilter ref="E2:E1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U71"/>
  <sheetViews>
    <sheetView topLeftCell="A43" zoomScale="85" zoomScaleNormal="85" workbookViewId="0">
      <selection activeCell="E2" sqref="E2:F11"/>
    </sheetView>
  </sheetViews>
  <sheetFormatPr defaultColWidth="11" defaultRowHeight="15.75"/>
  <cols>
    <col min="5" max="5" width="26.625" bestFit="1" customWidth="1"/>
    <col min="6" max="6" width="35.5" bestFit="1" customWidth="1"/>
    <col min="8" max="8" width="20.5" bestFit="1" customWidth="1"/>
    <col min="9" max="9" width="38.875" customWidth="1"/>
    <col min="11" max="11" width="20.5" bestFit="1" customWidth="1"/>
    <col min="12" max="12" width="34.375" bestFit="1" customWidth="1"/>
    <col min="14" max="14" width="20.5" bestFit="1" customWidth="1"/>
    <col min="15" max="15" width="35.5" bestFit="1" customWidth="1"/>
    <col min="17" max="17" width="20" bestFit="1" customWidth="1"/>
    <col min="18" max="18" width="35.5" bestFit="1" customWidth="1"/>
  </cols>
  <sheetData>
    <row r="2" spans="3:21">
      <c r="E2" s="27" t="s">
        <v>134</v>
      </c>
      <c r="F2" s="27"/>
      <c r="H2" s="27" t="s">
        <v>135</v>
      </c>
      <c r="I2" s="27"/>
      <c r="K2" s="27" t="s">
        <v>136</v>
      </c>
      <c r="L2" s="27"/>
      <c r="N2" s="27" t="s">
        <v>137</v>
      </c>
      <c r="O2" s="27"/>
      <c r="T2" s="27"/>
      <c r="U2" s="27"/>
    </row>
    <row r="4" spans="3:21">
      <c r="C4" s="21" t="s">
        <v>166</v>
      </c>
      <c r="E4" t="s">
        <v>140</v>
      </c>
      <c r="F4" t="s">
        <v>141</v>
      </c>
      <c r="H4" t="s">
        <v>140</v>
      </c>
      <c r="K4" t="s">
        <v>140</v>
      </c>
      <c r="L4" t="s">
        <v>142</v>
      </c>
      <c r="N4" t="s">
        <v>140</v>
      </c>
      <c r="O4">
        <v>0</v>
      </c>
    </row>
    <row r="5" spans="3:21">
      <c r="C5" s="21" t="s">
        <v>166</v>
      </c>
      <c r="E5" t="s">
        <v>151</v>
      </c>
      <c r="F5">
        <v>0</v>
      </c>
      <c r="H5" t="s">
        <v>151</v>
      </c>
      <c r="I5" t="s">
        <v>141</v>
      </c>
      <c r="K5" t="s">
        <v>151</v>
      </c>
      <c r="L5">
        <v>0</v>
      </c>
      <c r="N5" t="s">
        <v>151</v>
      </c>
      <c r="O5" t="s">
        <v>142</v>
      </c>
    </row>
    <row r="6" spans="3:21">
      <c r="C6" t="s">
        <v>166</v>
      </c>
      <c r="E6" t="s">
        <v>146</v>
      </c>
      <c r="F6" s="21" t="s">
        <v>148</v>
      </c>
      <c r="H6" t="s">
        <v>146</v>
      </c>
      <c r="I6" s="21" t="s">
        <v>143</v>
      </c>
      <c r="K6" t="s">
        <v>146</v>
      </c>
      <c r="L6" s="21" t="s">
        <v>143</v>
      </c>
      <c r="N6" t="s">
        <v>146</v>
      </c>
      <c r="O6" s="21" t="s">
        <v>148</v>
      </c>
    </row>
    <row r="7" spans="3:21">
      <c r="C7" t="s">
        <v>166</v>
      </c>
      <c r="E7" t="s">
        <v>180</v>
      </c>
      <c r="F7" s="21" t="s">
        <v>148</v>
      </c>
      <c r="H7" t="s">
        <v>180</v>
      </c>
      <c r="I7" t="s">
        <v>143</v>
      </c>
      <c r="K7" t="s">
        <v>180</v>
      </c>
      <c r="L7" t="s">
        <v>143</v>
      </c>
      <c r="N7" t="s">
        <v>180</v>
      </c>
      <c r="O7" t="s">
        <v>144</v>
      </c>
    </row>
    <row r="9" spans="3:21">
      <c r="C9" s="21" t="s">
        <v>166</v>
      </c>
      <c r="E9" t="s">
        <v>45</v>
      </c>
      <c r="H9" t="s">
        <v>45</v>
      </c>
      <c r="K9" t="s">
        <v>45</v>
      </c>
      <c r="N9" t="s">
        <v>45</v>
      </c>
    </row>
    <row r="11" spans="3:21">
      <c r="E11" t="s">
        <v>168</v>
      </c>
      <c r="H11" t="s">
        <v>167</v>
      </c>
      <c r="K11" t="s">
        <v>169</v>
      </c>
      <c r="N11" t="s">
        <v>170</v>
      </c>
    </row>
    <row r="18" spans="3:15">
      <c r="E18" s="27" t="s">
        <v>138</v>
      </c>
      <c r="F18" s="27"/>
      <c r="H18" s="27" t="s">
        <v>139</v>
      </c>
      <c r="I18" s="27"/>
      <c r="K18" s="27" t="s">
        <v>152</v>
      </c>
      <c r="L18" s="27"/>
      <c r="N18" s="27" t="s">
        <v>154</v>
      </c>
      <c r="O18" s="27"/>
    </row>
    <row r="20" spans="3:15">
      <c r="C20" s="21" t="s">
        <v>166</v>
      </c>
      <c r="E20" t="s">
        <v>140</v>
      </c>
      <c r="F20">
        <v>0</v>
      </c>
      <c r="H20" t="s">
        <v>140</v>
      </c>
      <c r="I20" t="s">
        <v>149</v>
      </c>
      <c r="K20" t="s">
        <v>140</v>
      </c>
      <c r="L20">
        <v>0</v>
      </c>
      <c r="N20" t="s">
        <v>140</v>
      </c>
      <c r="O20" t="s">
        <v>155</v>
      </c>
    </row>
    <row r="21" spans="3:15">
      <c r="C21" s="21" t="s">
        <v>166</v>
      </c>
      <c r="E21" t="s">
        <v>151</v>
      </c>
      <c r="F21" t="s">
        <v>142</v>
      </c>
      <c r="H21" t="s">
        <v>151</v>
      </c>
      <c r="I21">
        <v>0</v>
      </c>
      <c r="K21" t="s">
        <v>151</v>
      </c>
      <c r="L21" t="s">
        <v>150</v>
      </c>
      <c r="N21" t="s">
        <v>151</v>
      </c>
      <c r="O21">
        <v>0</v>
      </c>
    </row>
    <row r="22" spans="3:15">
      <c r="C22" t="s">
        <v>166</v>
      </c>
      <c r="E22" t="s">
        <v>146</v>
      </c>
      <c r="F22" t="s">
        <v>147</v>
      </c>
      <c r="H22" t="s">
        <v>146</v>
      </c>
      <c r="I22" t="s">
        <v>147</v>
      </c>
      <c r="K22" t="s">
        <v>146</v>
      </c>
      <c r="L22" t="s">
        <v>148</v>
      </c>
      <c r="N22" t="s">
        <v>146</v>
      </c>
      <c r="O22" t="s">
        <v>148</v>
      </c>
    </row>
    <row r="23" spans="3:15" ht="31.5">
      <c r="C23" t="s">
        <v>166</v>
      </c>
      <c r="E23" t="s">
        <v>180</v>
      </c>
      <c r="F23" s="3" t="s">
        <v>145</v>
      </c>
      <c r="H23" t="s">
        <v>180</v>
      </c>
      <c r="I23" s="21" t="s">
        <v>148</v>
      </c>
      <c r="K23" t="s">
        <v>180</v>
      </c>
      <c r="L23" s="21" t="s">
        <v>153</v>
      </c>
      <c r="N23" t="s">
        <v>180</v>
      </c>
      <c r="O23" s="21" t="s">
        <v>148</v>
      </c>
    </row>
    <row r="25" spans="3:15">
      <c r="C25" s="21" t="s">
        <v>166</v>
      </c>
      <c r="E25" t="s">
        <v>45</v>
      </c>
      <c r="H25" t="s">
        <v>45</v>
      </c>
      <c r="K25" t="s">
        <v>45</v>
      </c>
      <c r="N25" t="s">
        <v>45</v>
      </c>
    </row>
    <row r="27" spans="3:15">
      <c r="E27" t="s">
        <v>171</v>
      </c>
      <c r="H27" t="s">
        <v>172</v>
      </c>
      <c r="K27" t="s">
        <v>173</v>
      </c>
      <c r="N27" t="s">
        <v>174</v>
      </c>
    </row>
    <row r="33" spans="3:15">
      <c r="E33" s="27" t="s">
        <v>156</v>
      </c>
      <c r="F33" s="27"/>
      <c r="H33" s="27" t="s">
        <v>158</v>
      </c>
      <c r="I33" s="27"/>
      <c r="K33" s="27" t="s">
        <v>160</v>
      </c>
      <c r="L33" s="27"/>
      <c r="N33" s="27" t="s">
        <v>163</v>
      </c>
      <c r="O33" s="27"/>
    </row>
    <row r="35" spans="3:15">
      <c r="C35" s="21" t="s">
        <v>166</v>
      </c>
      <c r="E35" t="s">
        <v>140</v>
      </c>
      <c r="F35">
        <v>0</v>
      </c>
      <c r="H35" t="s">
        <v>140</v>
      </c>
      <c r="I35" t="s">
        <v>159</v>
      </c>
      <c r="K35" t="s">
        <v>140</v>
      </c>
      <c r="L35" t="s">
        <v>161</v>
      </c>
      <c r="N35" t="s">
        <v>140</v>
      </c>
      <c r="O35">
        <v>0</v>
      </c>
    </row>
    <row r="36" spans="3:15">
      <c r="C36" s="21" t="s">
        <v>166</v>
      </c>
      <c r="E36" t="s">
        <v>151</v>
      </c>
      <c r="F36" t="s">
        <v>155</v>
      </c>
      <c r="H36" t="s">
        <v>151</v>
      </c>
      <c r="I36">
        <v>0</v>
      </c>
      <c r="K36" t="s">
        <v>151</v>
      </c>
      <c r="L36" t="s">
        <v>162</v>
      </c>
      <c r="N36" t="s">
        <v>151</v>
      </c>
      <c r="O36" t="s">
        <v>162</v>
      </c>
    </row>
    <row r="37" spans="3:15">
      <c r="C37" t="s">
        <v>166</v>
      </c>
      <c r="E37" t="s">
        <v>146</v>
      </c>
      <c r="F37" s="21" t="s">
        <v>157</v>
      </c>
      <c r="H37" t="s">
        <v>146</v>
      </c>
      <c r="I37" s="21" t="s">
        <v>157</v>
      </c>
      <c r="K37" t="s">
        <v>146</v>
      </c>
      <c r="L37" s="21" t="s">
        <v>164</v>
      </c>
      <c r="N37" t="s">
        <v>146</v>
      </c>
      <c r="O37" s="21" t="s">
        <v>143</v>
      </c>
    </row>
    <row r="38" spans="3:15">
      <c r="C38" t="s">
        <v>166</v>
      </c>
      <c r="E38" t="s">
        <v>180</v>
      </c>
      <c r="F38" t="s">
        <v>157</v>
      </c>
      <c r="H38" t="s">
        <v>180</v>
      </c>
      <c r="I38" s="21" t="s">
        <v>148</v>
      </c>
      <c r="K38" t="s">
        <v>180</v>
      </c>
      <c r="L38" s="21" t="s">
        <v>164</v>
      </c>
      <c r="N38" t="s">
        <v>180</v>
      </c>
      <c r="O38" s="21" t="s">
        <v>165</v>
      </c>
    </row>
    <row r="40" spans="3:15">
      <c r="C40" s="21" t="s">
        <v>166</v>
      </c>
      <c r="E40" t="s">
        <v>45</v>
      </c>
      <c r="H40" t="s">
        <v>45</v>
      </c>
      <c r="K40" t="s">
        <v>45</v>
      </c>
      <c r="N40" t="s">
        <v>45</v>
      </c>
    </row>
    <row r="42" spans="3:15">
      <c r="E42" t="s">
        <v>175</v>
      </c>
      <c r="H42" t="s">
        <v>176</v>
      </c>
      <c r="K42" t="s">
        <v>177</v>
      </c>
      <c r="N42" t="s">
        <v>178</v>
      </c>
    </row>
    <row r="47" spans="3:15">
      <c r="E47" s="27" t="s">
        <v>179</v>
      </c>
      <c r="F47" s="27"/>
      <c r="H47" s="27" t="s">
        <v>182</v>
      </c>
      <c r="I47" s="27"/>
      <c r="K47" s="27" t="s">
        <v>185</v>
      </c>
      <c r="L47" s="27"/>
      <c r="N47" s="27" t="s">
        <v>187</v>
      </c>
      <c r="O47" s="27"/>
    </row>
    <row r="49" spans="3:15">
      <c r="C49" s="21" t="s">
        <v>166</v>
      </c>
      <c r="E49" t="s">
        <v>140</v>
      </c>
      <c r="F49" t="s">
        <v>150</v>
      </c>
      <c r="H49" t="s">
        <v>140</v>
      </c>
      <c r="I49">
        <v>0</v>
      </c>
      <c r="K49" t="s">
        <v>140</v>
      </c>
      <c r="L49" t="s">
        <v>155</v>
      </c>
      <c r="N49" t="s">
        <v>140</v>
      </c>
      <c r="O49">
        <v>0</v>
      </c>
    </row>
    <row r="50" spans="3:15">
      <c r="C50" s="21" t="s">
        <v>166</v>
      </c>
      <c r="E50" t="s">
        <v>151</v>
      </c>
      <c r="F50">
        <v>0</v>
      </c>
      <c r="H50" t="s">
        <v>151</v>
      </c>
      <c r="I50" t="s">
        <v>150</v>
      </c>
      <c r="K50" t="s">
        <v>151</v>
      </c>
      <c r="L50">
        <v>0</v>
      </c>
      <c r="N50" t="s">
        <v>151</v>
      </c>
      <c r="O50" t="s">
        <v>155</v>
      </c>
    </row>
    <row r="51" spans="3:15">
      <c r="C51" t="s">
        <v>166</v>
      </c>
      <c r="E51" t="s">
        <v>146</v>
      </c>
      <c r="F51" s="21" t="s">
        <v>143</v>
      </c>
      <c r="H51" t="s">
        <v>146</v>
      </c>
      <c r="I51" s="21" t="s">
        <v>183</v>
      </c>
      <c r="K51" t="s">
        <v>146</v>
      </c>
      <c r="L51" s="21" t="s">
        <v>183</v>
      </c>
      <c r="N51" t="s">
        <v>146</v>
      </c>
      <c r="O51" s="21" t="s">
        <v>188</v>
      </c>
    </row>
    <row r="52" spans="3:15">
      <c r="C52" t="s">
        <v>166</v>
      </c>
      <c r="E52" t="s">
        <v>180</v>
      </c>
      <c r="F52" s="21" t="s">
        <v>148</v>
      </c>
      <c r="H52" t="s">
        <v>180</v>
      </c>
      <c r="I52" s="21" t="s">
        <v>183</v>
      </c>
      <c r="K52" t="s">
        <v>180</v>
      </c>
      <c r="L52" s="21" t="s">
        <v>148</v>
      </c>
      <c r="N52" t="s">
        <v>180</v>
      </c>
      <c r="O52" s="21" t="s">
        <v>188</v>
      </c>
    </row>
    <row r="54" spans="3:15">
      <c r="C54" s="21" t="s">
        <v>166</v>
      </c>
      <c r="E54" t="s">
        <v>45</v>
      </c>
      <c r="H54" t="s">
        <v>45</v>
      </c>
      <c r="K54" t="s">
        <v>45</v>
      </c>
      <c r="N54" t="s">
        <v>45</v>
      </c>
    </row>
    <row r="56" spans="3:15">
      <c r="E56" t="s">
        <v>181</v>
      </c>
      <c r="H56" t="s">
        <v>184</v>
      </c>
      <c r="K56" t="s">
        <v>186</v>
      </c>
      <c r="N56" t="s">
        <v>189</v>
      </c>
    </row>
    <row r="61" spans="3:15">
      <c r="E61" s="27" t="s">
        <v>190</v>
      </c>
      <c r="F61" s="27"/>
      <c r="H61" s="27" t="s">
        <v>193</v>
      </c>
      <c r="I61" s="27"/>
      <c r="K61" s="27"/>
      <c r="L61" s="27"/>
    </row>
    <row r="62" spans="3:15">
      <c r="N62" s="27"/>
      <c r="O62" s="27"/>
    </row>
    <row r="63" spans="3:15">
      <c r="C63" s="21" t="s">
        <v>166</v>
      </c>
      <c r="E63" t="s">
        <v>140</v>
      </c>
      <c r="F63">
        <v>0</v>
      </c>
      <c r="H63" t="s">
        <v>140</v>
      </c>
      <c r="I63">
        <v>0</v>
      </c>
    </row>
    <row r="64" spans="3:15">
      <c r="C64" s="21" t="s">
        <v>166</v>
      </c>
      <c r="E64" t="s">
        <v>151</v>
      </c>
      <c r="F64" t="s">
        <v>155</v>
      </c>
      <c r="H64" t="s">
        <v>151</v>
      </c>
      <c r="I64" t="s">
        <v>155</v>
      </c>
    </row>
    <row r="65" spans="3:15">
      <c r="C65" t="s">
        <v>166</v>
      </c>
      <c r="E65" t="s">
        <v>146</v>
      </c>
      <c r="F65" s="21" t="s">
        <v>148</v>
      </c>
      <c r="H65" t="s">
        <v>146</v>
      </c>
      <c r="I65" s="21" t="s">
        <v>194</v>
      </c>
      <c r="L65" s="21"/>
    </row>
    <row r="66" spans="3:15" ht="31.5">
      <c r="C66" t="s">
        <v>166</v>
      </c>
      <c r="E66" t="s">
        <v>180</v>
      </c>
      <c r="F66" s="21" t="s">
        <v>191</v>
      </c>
      <c r="H66" t="s">
        <v>180</v>
      </c>
      <c r="I66" s="22" t="s">
        <v>195</v>
      </c>
      <c r="L66" s="21"/>
      <c r="O66" s="21"/>
    </row>
    <row r="67" spans="3:15">
      <c r="O67" s="21"/>
    </row>
    <row r="68" spans="3:15">
      <c r="C68" s="21" t="s">
        <v>166</v>
      </c>
      <c r="E68" t="s">
        <v>45</v>
      </c>
      <c r="H68" t="s">
        <v>45</v>
      </c>
    </row>
    <row r="70" spans="3:15">
      <c r="E70" t="s">
        <v>192</v>
      </c>
      <c r="H70" t="s">
        <v>196</v>
      </c>
    </row>
    <row r="71" spans="3:15">
      <c r="N71" s="1"/>
    </row>
  </sheetData>
  <mergeCells count="21">
    <mergeCell ref="N62:O62"/>
    <mergeCell ref="K61:L61"/>
    <mergeCell ref="N2:O2"/>
    <mergeCell ref="E18:F18"/>
    <mergeCell ref="T2:U2"/>
    <mergeCell ref="H18:I18"/>
    <mergeCell ref="K18:L18"/>
    <mergeCell ref="N18:O18"/>
    <mergeCell ref="E2:F2"/>
    <mergeCell ref="H2:I2"/>
    <mergeCell ref="K2:L2"/>
    <mergeCell ref="E61:F61"/>
    <mergeCell ref="H61:I61"/>
    <mergeCell ref="N33:O33"/>
    <mergeCell ref="E47:F47"/>
    <mergeCell ref="H47:I47"/>
    <mergeCell ref="K47:L47"/>
    <mergeCell ref="N47:O47"/>
    <mergeCell ref="E33:F33"/>
    <mergeCell ref="H33:I33"/>
    <mergeCell ref="K33:L3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10"/>
  <sheetViews>
    <sheetView workbookViewId="0">
      <selection activeCell="E5" sqref="E5"/>
    </sheetView>
  </sheetViews>
  <sheetFormatPr defaultRowHeight="15.75"/>
  <cols>
    <col min="4" max="4" width="37.875" bestFit="1" customWidth="1"/>
    <col min="5" max="5" width="23.375" bestFit="1" customWidth="1"/>
    <col min="7" max="7" width="37.875" bestFit="1" customWidth="1"/>
    <col min="8" max="8" width="19.5" bestFit="1" customWidth="1"/>
  </cols>
  <sheetData>
    <row r="1" spans="4:8">
      <c r="D1" s="27" t="s">
        <v>201</v>
      </c>
      <c r="E1" s="27"/>
      <c r="G1" s="27" t="s">
        <v>134</v>
      </c>
      <c r="H1" s="27"/>
    </row>
    <row r="3" spans="4:8">
      <c r="D3" t="s">
        <v>140</v>
      </c>
      <c r="G3" t="s">
        <v>140</v>
      </c>
    </row>
    <row r="4" spans="4:8">
      <c r="D4" t="s">
        <v>197</v>
      </c>
      <c r="E4" t="s">
        <v>200</v>
      </c>
      <c r="G4" t="s">
        <v>197</v>
      </c>
      <c r="H4" t="s">
        <v>200</v>
      </c>
    </row>
    <row r="5" spans="4:8">
      <c r="D5" t="s">
        <v>146</v>
      </c>
      <c r="E5" s="21" t="s">
        <v>199</v>
      </c>
      <c r="G5" t="s">
        <v>146</v>
      </c>
      <c r="H5" s="21" t="s">
        <v>199</v>
      </c>
    </row>
    <row r="6" spans="4:8">
      <c r="D6" t="s">
        <v>180</v>
      </c>
      <c r="E6" s="21"/>
      <c r="G6" t="s">
        <v>180</v>
      </c>
      <c r="H6" s="21"/>
    </row>
    <row r="8" spans="4:8">
      <c r="G8" t="s">
        <v>45</v>
      </c>
    </row>
    <row r="10" spans="4:8">
      <c r="G10" t="s">
        <v>168</v>
      </c>
    </row>
  </sheetData>
  <mergeCells count="2">
    <mergeCell ref="D1:E1"/>
    <mergeCell ref="G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"/>
  <sheetViews>
    <sheetView tabSelected="1" workbookViewId="0">
      <selection activeCell="C12" sqref="C12"/>
    </sheetView>
  </sheetViews>
  <sheetFormatPr defaultRowHeight="15.75"/>
  <cols>
    <col min="3" max="3" width="13.125" bestFit="1" customWidth="1"/>
    <col min="4" max="4" width="9.5" bestFit="1" customWidth="1"/>
    <col min="5" max="5" width="20.5" bestFit="1" customWidth="1"/>
    <col min="6" max="6" width="14" bestFit="1" customWidth="1"/>
    <col min="7" max="7" width="14.5" bestFit="1" customWidth="1"/>
    <col min="8" max="8" width="13.25" customWidth="1"/>
    <col min="9" max="9" width="10.75" bestFit="1" customWidth="1"/>
  </cols>
  <sheetData>
    <row r="1" spans="2:11">
      <c r="B1" t="s">
        <v>202</v>
      </c>
      <c r="C1" t="s">
        <v>140</v>
      </c>
      <c r="D1" t="s">
        <v>197</v>
      </c>
      <c r="E1" t="s">
        <v>146</v>
      </c>
      <c r="F1" t="s">
        <v>203</v>
      </c>
      <c r="G1" t="s">
        <v>208</v>
      </c>
      <c r="I1" t="s">
        <v>206</v>
      </c>
      <c r="J1" t="s">
        <v>207</v>
      </c>
      <c r="K1" t="s">
        <v>15</v>
      </c>
    </row>
    <row r="2" spans="2:11">
      <c r="D2" t="s">
        <v>198</v>
      </c>
      <c r="E2" s="21" t="s">
        <v>199</v>
      </c>
      <c r="I2">
        <v>-12</v>
      </c>
      <c r="J2">
        <v>-15</v>
      </c>
      <c r="K2">
        <v>3</v>
      </c>
    </row>
    <row r="3" spans="2:11">
      <c r="B3">
        <v>1</v>
      </c>
      <c r="C3" t="s">
        <v>204</v>
      </c>
      <c r="D3" t="s">
        <v>205</v>
      </c>
      <c r="E3" s="21" t="s">
        <v>199</v>
      </c>
      <c r="G3" t="s">
        <v>211</v>
      </c>
      <c r="H3" t="s">
        <v>212</v>
      </c>
      <c r="I3">
        <v>-2</v>
      </c>
    </row>
    <row r="4" spans="2:11">
      <c r="B4">
        <v>2</v>
      </c>
      <c r="E4" s="21" t="s">
        <v>210</v>
      </c>
      <c r="F4" t="s">
        <v>209</v>
      </c>
      <c r="G4" t="s">
        <v>211</v>
      </c>
      <c r="H4" t="s">
        <v>213</v>
      </c>
    </row>
    <row r="5" spans="2:11">
      <c r="B5">
        <v>3</v>
      </c>
      <c r="D5" t="s">
        <v>214</v>
      </c>
      <c r="E5" s="21" t="s">
        <v>210</v>
      </c>
      <c r="G5" t="s">
        <v>215</v>
      </c>
      <c r="I5">
        <f>-2 - (-9)</f>
        <v>7</v>
      </c>
    </row>
    <row r="9" spans="2:11">
      <c r="D9" t="s">
        <v>198</v>
      </c>
      <c r="E9" s="21" t="s">
        <v>199</v>
      </c>
      <c r="I9">
        <v>-12</v>
      </c>
      <c r="J9">
        <v>-15</v>
      </c>
      <c r="K9">
        <v>3</v>
      </c>
    </row>
    <row r="10" spans="2:11">
      <c r="B10">
        <v>1</v>
      </c>
      <c r="C10" t="s">
        <v>216</v>
      </c>
      <c r="D10" t="s">
        <v>217</v>
      </c>
      <c r="E10" s="21" t="s">
        <v>199</v>
      </c>
      <c r="G10" t="s">
        <v>218</v>
      </c>
      <c r="H10" t="s">
        <v>219</v>
      </c>
      <c r="I10">
        <v>3</v>
      </c>
      <c r="J10">
        <v>-15</v>
      </c>
      <c r="K10">
        <v>3</v>
      </c>
    </row>
    <row r="11" spans="2:11">
      <c r="B11">
        <v>2</v>
      </c>
      <c r="E11" s="21" t="s">
        <v>223</v>
      </c>
      <c r="F11" t="s">
        <v>220</v>
      </c>
      <c r="G11" t="s">
        <v>221</v>
      </c>
      <c r="H11" t="s">
        <v>222</v>
      </c>
      <c r="I11">
        <f xml:space="preserve"> 3 - (-3)</f>
        <v>6</v>
      </c>
      <c r="J11">
        <v>0</v>
      </c>
      <c r="K11">
        <v>0</v>
      </c>
    </row>
    <row r="12" spans="2:11">
      <c r="B12">
        <v>3</v>
      </c>
      <c r="D12" t="s">
        <v>224</v>
      </c>
      <c r="G1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Netting - Order</vt:lpstr>
      <vt:lpstr>Netting</vt:lpstr>
      <vt:lpstr>Planning</vt:lpstr>
      <vt:lpstr>Netting - Talon</vt:lpstr>
      <vt:lpstr>Sheet3</vt:lpstr>
      <vt:lpstr>Target Qty Approach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Melkote</dc:creator>
  <cp:lastModifiedBy>Rahul Bevinahal</cp:lastModifiedBy>
  <dcterms:created xsi:type="dcterms:W3CDTF">2020-03-03T22:41:54Z</dcterms:created>
  <dcterms:modified xsi:type="dcterms:W3CDTF">2020-04-24T14:19:43Z</dcterms:modified>
</cp:coreProperties>
</file>